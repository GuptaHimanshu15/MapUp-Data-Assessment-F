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DELL\Desktop\applied jobs\"/>
    </mc:Choice>
  </mc:AlternateContent>
  <bookViews>
    <workbookView xWindow="0" yWindow="0" windowWidth="16695" windowHeight="819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8" l="1"/>
  <c r="D30" i="18"/>
  <c r="E30" i="18"/>
  <c r="F30" i="18"/>
  <c r="D29" i="18"/>
  <c r="E29" i="18"/>
  <c r="F29" i="18"/>
  <c r="C29" i="18"/>
  <c r="D28" i="18"/>
  <c r="E28" i="18"/>
  <c r="F28" i="18"/>
  <c r="C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30" i="18" l="1"/>
  <c r="B29" i="18"/>
  <c r="B28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22" i="19" l="1"/>
</calcChain>
</file>

<file path=xl/sharedStrings.xml><?xml version="1.0" encoding="utf-8"?>
<sst xmlns="http://schemas.openxmlformats.org/spreadsheetml/2006/main" count="409" uniqueCount="184">
  <si>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</si>
  <si>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</si>
  <si>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</si>
  <si>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</si>
  <si>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</si>
  <si>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</si>
  <si>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</si>
  <si>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</si>
  <si>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</si>
  <si>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</si>
  <si>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</si>
  <si>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</si>
  <si>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</si>
  <si>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</si>
  <si>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</si>
  <si>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</si>
  <si>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</si>
  <si>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</si>
  <si>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</si>
  <si>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</si>
  <si>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</si>
  <si>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</si>
  <si>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</si>
  <si>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</si>
  <si>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</si>
  <si>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</si>
  <si>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</si>
  <si>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</si>
  <si>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</si>
  <si>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</si>
  <si>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</si>
  <si>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</si>
  <si>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</si>
  <si>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</si>
  <si>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</si>
  <si>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</si>
  <si>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</si>
  <si>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</si>
  <si>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</si>
  <si>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</si>
  <si>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</si>
  <si>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</si>
  <si>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</si>
  <si>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</si>
  <si>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</si>
  <si>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</si>
  <si>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</si>
  <si>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</si>
  <si>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</si>
  <si>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</si>
  <si>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</si>
  <si>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</si>
  <si>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</si>
  <si>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</si>
  <si>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</si>
  <si>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</si>
  <si>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</si>
  <si>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</si>
  <si>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</si>
  <si>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</si>
  <si>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</si>
  <si>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</si>
  <si>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</si>
  <si>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</si>
  <si>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</si>
  <si>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</si>
  <si>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</si>
  <si>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</si>
  <si>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</si>
  <si>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</si>
  <si>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</si>
  <si>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</si>
  <si>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</si>
  <si>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</si>
  <si>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</si>
  <si>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</si>
  <si>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</si>
  <si>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</si>
  <si>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</si>
  <si>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</si>
  <si>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</si>
  <si>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</si>
  <si>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</si>
  <si>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</si>
  <si>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</si>
  <si>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</si>
  <si>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</si>
  <si>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</si>
  <si>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</si>
  <si>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</si>
  <si>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</si>
  <si>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</si>
  <si>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</si>
  <si>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</si>
  <si>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</si>
  <si>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</si>
  <si>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</si>
  <si>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</si>
  <si>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</si>
  <si>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</si>
  <si>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</si>
  <si>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</si>
  <si>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</si>
  <si>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</si>
  <si>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</si>
  <si>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</si>
  <si>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</si>
  <si>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</si>
  <si>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</si>
  <si>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</si>
  <si>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</si>
  <si>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</si>
  <si>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</si>
  <si>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</si>
  <si>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</si>
  <si>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</si>
  <si>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</si>
  <si>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</si>
  <si>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</si>
  <si>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</si>
  <si>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</si>
  <si>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</si>
  <si>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</si>
  <si>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</si>
  <si>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</si>
  <si>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</si>
  <si>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</si>
  <si>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</si>
  <si>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</si>
  <si>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</si>
  <si>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</si>
  <si>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</si>
  <si>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</si>
  <si>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</si>
  <si>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</si>
  <si>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</si>
  <si>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</si>
  <si>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</si>
  <si>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</si>
  <si>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</si>
  <si>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</si>
  <si>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</si>
  <si>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</si>
  <si>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</si>
  <si>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</si>
  <si>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</si>
  <si>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</si>
  <si>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</si>
  <si>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</si>
  <si>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</si>
  <si>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</si>
  <si>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</si>
  <si>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</si>
  <si>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</si>
  <si>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</si>
  <si>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</si>
  <si>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</si>
  <si>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</si>
  <si>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</si>
  <si>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</si>
  <si>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</si>
  <si>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</si>
  <si>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</si>
  <si>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</si>
  <si>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</si>
  <si>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</si>
  <si>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</si>
  <si>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</si>
  <si>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</si>
  <si>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</si>
  <si>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</si>
  <si>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</si>
  <si>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</si>
  <si>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</si>
  <si>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</si>
  <si>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</si>
  <si>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SUMIF(H1:H40,"&gt;20")</t>
  </si>
  <si>
    <t>I used simple text to columns approach by giving the deliemeter as '-',then selecting the destination  as the respective columns.</t>
  </si>
  <si>
    <t>All 20 values must be substituted with the value '20'</t>
  </si>
  <si>
    <t>I have used find and  replace functionality to sustitute the N/A with 20 and the used the sum function applying to the selected cells to get the output.</t>
  </si>
  <si>
    <t>USED CONDITIONAL FORMATTING</t>
  </si>
  <si>
    <t xml:space="preserve">USED BUILT IN FUNCTIONALITY </t>
  </si>
  <si>
    <t>USED CTRL+1 THEN ,SPECIFIED THE GENERAL EXPRESSION</t>
  </si>
  <si>
    <t>Used Vlookup to find the values then applied min,max,average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</si>
</sst>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ill>
        <patternFill patternType="solid"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172</v>
      </c>
    </row>
    <row r="9" spans="1:3" x14ac:dyDescent="0.2">
      <c r="A9" s="34" t="s">
        <v>170</v>
      </c>
      <c r="B9" s="25" t="s">
        <v>168</v>
      </c>
    </row>
    <row r="10" spans="1:3" x14ac:dyDescent="0.2">
      <c r="A10" s="33" t="s">
        <v>171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zoomScale="106" zoomScaleNormal="106" workbookViewId="0">
      <pane ySplit="1" topLeftCell="A19" activePane="bottomLeft" state="frozen"/>
      <selection pane="bottomLeft" activeCell="G6" sqref="A1:X40"/>
    </sheetView>
  </sheetViews>
  <sheetFormatPr defaultColWidth="9" defaultRowHeight="15" x14ac:dyDescent="0.25"/>
  <cols>
    <col min="1" max="1" width="25.6640625" style="1" bestFit="1" customWidth="1"/>
    <col min="2" max="2" width="8.5" style="1" bestFit="1" customWidth="1"/>
    <col min="3" max="3" width="15" style="1" bestFit="1" customWidth="1"/>
    <col min="4" max="4" width="16.1640625" style="23" bestFit="1" customWidth="1"/>
    <col min="5" max="5" width="14" style="1" bestFit="1" customWidth="1"/>
    <col min="6" max="6" width="15" style="23" bestFit="1" customWidth="1"/>
    <col min="7" max="7" width="38.1640625" style="1" customWidth="1"/>
    <col min="8" max="9" width="8" style="1" bestFit="1" customWidth="1"/>
    <col min="10" max="10" width="9.83203125" style="1" bestFit="1" customWidth="1"/>
    <col min="11" max="12" width="10.33203125" style="1" bestFit="1" customWidth="1"/>
    <col min="13" max="13" width="8.5" style="1" bestFit="1" customWidth="1"/>
    <col min="14" max="15" width="9" style="1" bestFit="1" customWidth="1"/>
    <col min="16" max="18" width="7.1640625" style="1" bestFit="1" customWidth="1"/>
    <col min="19" max="19" width="10.33203125" style="1" bestFit="1" customWidth="1"/>
    <col min="20" max="20" width="10.83203125" style="1" bestFit="1" customWidth="1"/>
    <col min="21" max="21" width="8.33203125" style="1" bestFit="1" customWidth="1"/>
    <col min="22" max="23" width="8.6640625" style="1" bestFit="1" customWidth="1"/>
    <col min="24" max="24" width="24.5" style="45" customWidth="1"/>
    <col min="25" max="16384" width="9" style="1"/>
  </cols>
  <sheetData>
    <row r="1" spans="1:24" s="3" customForma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XFD40">
    <cfRule type="cellIs" dxfId="4" priority="5" operator="equal">
      <formula>-1</formula>
    </cfRule>
    <cfRule type="cellIs" dxfId="3" priority="4" operator="equal">
      <formula>"""0"""</formula>
    </cfRule>
  </conditionalFormatting>
  <conditionalFormatting sqref="G1:X40">
    <cfRule type="cellIs" dxfId="2" priority="3" operator="equal">
      <formula>0</formula>
    </cfRule>
  </conditionalFormatting>
  <conditionalFormatting sqref="G49">
    <cfRule type="cellIs" dxfId="1" priority="1" operator="equal">
      <formula>"""0"""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zoomScaleNormal="100" workbookViewId="0">
      <selection activeCell="F7" sqref="F7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6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6" x14ac:dyDescent="0.25">
      <c r="A2" s="2"/>
      <c r="B2" s="5" t="s">
        <v>160</v>
      </c>
      <c r="C2" s="2"/>
    </row>
    <row r="3" spans="1:6" x14ac:dyDescent="0.25">
      <c r="A3" s="6">
        <v>1</v>
      </c>
      <c r="B3" s="2" t="s">
        <v>107</v>
      </c>
      <c r="C3" s="2" t="s">
        <v>45</v>
      </c>
      <c r="E3" s="1">
        <v>5</v>
      </c>
      <c r="F3" s="1" t="s">
        <v>180</v>
      </c>
    </row>
    <row r="4" spans="1:6" x14ac:dyDescent="0.25">
      <c r="A4" s="6">
        <v>2</v>
      </c>
      <c r="B4" s="2" t="s">
        <v>46</v>
      </c>
      <c r="C4" s="2"/>
      <c r="E4" s="1">
        <v>5</v>
      </c>
      <c r="F4" s="1" t="s">
        <v>181</v>
      </c>
    </row>
    <row r="5" spans="1:6" x14ac:dyDescent="0.25">
      <c r="A5" s="6">
        <v>3</v>
      </c>
      <c r="B5" s="2" t="s">
        <v>104</v>
      </c>
      <c r="C5" s="32" t="s">
        <v>176</v>
      </c>
      <c r="E5" s="1">
        <v>10</v>
      </c>
    </row>
    <row r="6" spans="1:6" x14ac:dyDescent="0.25">
      <c r="A6" s="6">
        <v>4</v>
      </c>
      <c r="B6" s="2" t="s">
        <v>106</v>
      </c>
      <c r="C6" s="2"/>
      <c r="E6" s="1">
        <v>5</v>
      </c>
      <c r="F6" s="1" t="s">
        <v>182</v>
      </c>
    </row>
    <row r="7" spans="1:6" x14ac:dyDescent="0.25">
      <c r="A7" s="2"/>
      <c r="B7" s="2"/>
      <c r="C7" s="2"/>
    </row>
    <row r="13" spans="1:6" x14ac:dyDescent="0.25">
      <c r="E13" s="2"/>
    </row>
    <row r="14" spans="1:6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0"/>
  <sheetViews>
    <sheetView topLeftCell="A4" zoomScaleNormal="100" workbookViewId="0">
      <selection activeCell="I10" sqref="I1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9" s="39" customFormat="1" ht="21" x14ac:dyDescent="0.35">
      <c r="A1" s="40" t="s">
        <v>55</v>
      </c>
      <c r="B1" s="39" t="s">
        <v>164</v>
      </c>
    </row>
    <row r="2" spans="1:9" s="39" customFormat="1" ht="21" x14ac:dyDescent="0.35">
      <c r="B2" s="39" t="s">
        <v>161</v>
      </c>
    </row>
    <row r="3" spans="1:9" ht="15" x14ac:dyDescent="0.25">
      <c r="A3" s="1"/>
      <c r="B3" s="1"/>
      <c r="C3" s="1"/>
      <c r="D3" s="1"/>
      <c r="E3" s="1"/>
      <c r="F3" s="1"/>
      <c r="G3" s="1"/>
    </row>
    <row r="4" spans="1:9" ht="23.25" x14ac:dyDescent="0.35">
      <c r="A4" s="17" t="s">
        <v>162</v>
      </c>
      <c r="B4" s="1"/>
      <c r="C4" s="1"/>
      <c r="D4" s="1"/>
      <c r="E4" s="1"/>
      <c r="F4" s="1"/>
      <c r="G4" s="1"/>
    </row>
    <row r="5" spans="1:9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9" ht="15" x14ac:dyDescent="0.25">
      <c r="A6" s="7" t="s">
        <v>40</v>
      </c>
      <c r="B6" s="11">
        <f>VLOOKUP(A6,Dataset!$2:$40,Dataset!$G$7,)</f>
        <v>2.7</v>
      </c>
      <c r="C6" s="11">
        <f>VLOOKUP(A6,Dataset!$2:$40,14,0)</f>
        <v>7.6</v>
      </c>
      <c r="D6" s="11">
        <f>VLOOKUP(A6,Dataset!$2:$40,18,0)</f>
        <v>4.2</v>
      </c>
      <c r="E6" s="11">
        <f>VLOOKUP(A6,Dataset!$2:$40,20,0)</f>
        <v>8.9</v>
      </c>
      <c r="F6" s="11">
        <f>VLOOKUP(A6,Dataset!$2:$40,22,0)</f>
        <v>4.2</v>
      </c>
      <c r="I6" s="11"/>
    </row>
    <row r="7" spans="1:9" ht="15" x14ac:dyDescent="0.25">
      <c r="A7" s="7" t="s">
        <v>4</v>
      </c>
      <c r="B7" s="11">
        <f>VLOOKUP(A7,Dataset!$2:$40,Dataset!$G$7,)</f>
        <v>2.7</v>
      </c>
      <c r="C7" s="11">
        <f>VLOOKUP(A7,Dataset!$2:$40,14,0)</f>
        <v>7.6</v>
      </c>
      <c r="D7" s="11">
        <f>VLOOKUP(A7,Dataset!$2:$40,18,0)</f>
        <v>4.2</v>
      </c>
      <c r="E7" s="11">
        <f>VLOOKUP(A7,Dataset!$2:$40,20,0)</f>
        <v>8.9</v>
      </c>
      <c r="F7" s="11">
        <f>VLOOKUP(A7,Dataset!$2:$40,22,0)</f>
        <v>4.2</v>
      </c>
    </row>
    <row r="8" spans="1:9" ht="15" x14ac:dyDescent="0.25">
      <c r="A8" s="7" t="s">
        <v>7</v>
      </c>
      <c r="B8" s="11">
        <f>VLOOKUP(A8,Dataset!$2:$40,Dataset!$G$7,)</f>
        <v>3.6</v>
      </c>
      <c r="C8" s="11">
        <f>VLOOKUP(A8,Dataset!$2:$40,14,0)</f>
        <v>11.1</v>
      </c>
      <c r="D8" s="11">
        <f>VLOOKUP(A8,Dataset!$2:$40,18,0)</f>
        <v>5.8</v>
      </c>
      <c r="E8" s="11">
        <f>VLOOKUP(A8,Dataset!$2:$40,20,0)</f>
        <v>12.2</v>
      </c>
      <c r="F8" s="11">
        <f>VLOOKUP(A8,Dataset!$2:$40,22,0)</f>
        <v>5.8</v>
      </c>
    </row>
    <row r="9" spans="1:9" ht="15" x14ac:dyDescent="0.25">
      <c r="A9" s="7" t="s">
        <v>8</v>
      </c>
      <c r="B9" s="11">
        <f>VLOOKUP(A9,Dataset!$2:$40,Dataset!$G$7,)</f>
        <v>4.9000000000000004</v>
      </c>
      <c r="C9" s="11">
        <f>VLOOKUP(A9,Dataset!$2:$40,14,0)</f>
        <v>13.3</v>
      </c>
      <c r="D9" s="11">
        <f>VLOOKUP(A9,Dataset!$2:$40,18,0)</f>
        <v>8.1</v>
      </c>
      <c r="E9" s="11">
        <f>VLOOKUP(A9,Dataset!$2:$40,20,0)</f>
        <v>17</v>
      </c>
      <c r="F9" s="11">
        <f>VLOOKUP(A9,Dataset!$2:$40,22,0)</f>
        <v>8.1</v>
      </c>
      <c r="I9" s="2" t="s">
        <v>183</v>
      </c>
    </row>
    <row r="10" spans="1:9" ht="15" x14ac:dyDescent="0.25">
      <c r="A10" s="7" t="s">
        <v>11</v>
      </c>
      <c r="B10" s="11">
        <f>VLOOKUP(A10,Dataset!$2:$40,Dataset!$G$7,)</f>
        <v>9.4</v>
      </c>
      <c r="C10" s="11">
        <f>VLOOKUP(A10,Dataset!$2:$40,14,0)</f>
        <v>28.3</v>
      </c>
      <c r="D10" s="11">
        <f>VLOOKUP(A10,Dataset!$2:$40,18,0)</f>
        <v>16.100000000000001</v>
      </c>
      <c r="E10" s="11">
        <f>VLOOKUP(A10,Dataset!$2:$40,20,0)</f>
        <v>32.799999999999997</v>
      </c>
      <c r="F10" s="11">
        <f>VLOOKUP(A10,Dataset!$2:$40,22,0)</f>
        <v>16.100000000000001</v>
      </c>
    </row>
    <row r="11" spans="1:9" ht="15" x14ac:dyDescent="0.25">
      <c r="A11" s="7" t="s">
        <v>12</v>
      </c>
      <c r="B11" s="11">
        <f>VLOOKUP(A11,Dataset!$2:$40,Dataset!$G$7,)</f>
        <v>11.6</v>
      </c>
      <c r="C11" s="11">
        <f>VLOOKUP(A11,Dataset!$2:$40,14,0)</f>
        <v>35.200000000000003</v>
      </c>
      <c r="D11" s="11">
        <f>VLOOKUP(A11,Dataset!$2:$40,18,0)</f>
        <v>21.3</v>
      </c>
      <c r="E11" s="11">
        <f>VLOOKUP(A11,Dataset!$2:$40,20,0)</f>
        <v>43</v>
      </c>
      <c r="F11" s="11">
        <f>VLOOKUP(A11,Dataset!$2:$40,22,0)</f>
        <v>21.3</v>
      </c>
    </row>
    <row r="12" spans="1:9" ht="15" x14ac:dyDescent="0.25">
      <c r="A12" s="7" t="s">
        <v>14</v>
      </c>
      <c r="B12" s="11">
        <f>VLOOKUP(A12,Dataset!$2:$40,Dataset!$G$7,)</f>
        <v>18.399999999999999</v>
      </c>
      <c r="C12" s="11">
        <f>VLOOKUP(A12,Dataset!$2:$40,14,0)</f>
        <v>55.6</v>
      </c>
      <c r="D12" s="11">
        <f>VLOOKUP(A12,Dataset!$2:$40,18,0)</f>
        <v>33.799999999999997</v>
      </c>
      <c r="E12" s="11">
        <f>VLOOKUP(A12,Dataset!$2:$40,20,0)</f>
        <v>67.900000000000006</v>
      </c>
      <c r="F12" s="11">
        <f>VLOOKUP(A12,Dataset!$2:$40,22,0)</f>
        <v>33.799999999999997</v>
      </c>
    </row>
    <row r="13" spans="1:9" ht="15" x14ac:dyDescent="0.25">
      <c r="A13" s="7" t="s">
        <v>15</v>
      </c>
      <c r="B13" s="11">
        <f>VLOOKUP(A13,Dataset!$2:$40,Dataset!$G$7,)</f>
        <v>0</v>
      </c>
      <c r="C13" s="11">
        <f>VLOOKUP(A13,Dataset!$2:$40,14,0)</f>
        <v>0</v>
      </c>
      <c r="D13" s="11">
        <f>VLOOKUP(A13,Dataset!$2:$40,18,0)</f>
        <v>0</v>
      </c>
      <c r="E13" s="11">
        <f>VLOOKUP(A13,Dataset!$2:$40,20,0)</f>
        <v>0</v>
      </c>
      <c r="F13" s="11">
        <f>VLOOKUP(A13,Dataset!$2:$40,22,0)</f>
        <v>0</v>
      </c>
    </row>
    <row r="14" spans="1:9" ht="15" x14ac:dyDescent="0.25">
      <c r="A14" s="7" t="s">
        <v>16</v>
      </c>
      <c r="B14" s="11">
        <f>VLOOKUP(A14,Dataset!$2:$40,Dataset!$G$7,)</f>
        <v>21.9</v>
      </c>
      <c r="C14" s="11">
        <f>VLOOKUP(A14,Dataset!$2:$40,14,0)</f>
        <v>61.5</v>
      </c>
      <c r="D14" s="11">
        <f>VLOOKUP(A14,Dataset!$2:$40,18,0)</f>
        <v>40.1</v>
      </c>
      <c r="E14" s="11">
        <f>VLOOKUP(A14,Dataset!$2:$40,20,0)</f>
        <v>76.599999999999994</v>
      </c>
      <c r="F14" s="11">
        <f>VLOOKUP(A14,Dataset!$2:$40,22,0)</f>
        <v>40.1</v>
      </c>
    </row>
    <row r="15" spans="1:9" ht="15" x14ac:dyDescent="0.25">
      <c r="A15" s="7" t="s">
        <v>18</v>
      </c>
      <c r="B15" s="11">
        <f>VLOOKUP(A15,Dataset!$2:$40,Dataset!$G$7,)</f>
        <v>26.8</v>
      </c>
      <c r="C15" s="11">
        <f>VLOOKUP(A15,Dataset!$2:$40,14,0)</f>
        <v>79.599999999999994</v>
      </c>
      <c r="D15" s="11">
        <f>VLOOKUP(A15,Dataset!$2:$40,18,0)</f>
        <v>47.9</v>
      </c>
      <c r="E15" s="11">
        <f>VLOOKUP(A15,Dataset!$2:$40,20,0)</f>
        <v>96.8</v>
      </c>
      <c r="F15" s="11">
        <f>VLOOKUP(A15,Dataset!$2:$40,22,0)</f>
        <v>47.9</v>
      </c>
    </row>
    <row r="16" spans="1:9" ht="15" x14ac:dyDescent="0.25">
      <c r="A16" s="7" t="s">
        <v>20</v>
      </c>
      <c r="B16" s="11">
        <f>VLOOKUP(A16,Dataset!$2:$40,Dataset!$G$7,)</f>
        <v>28.5</v>
      </c>
      <c r="C16" s="11">
        <f>VLOOKUP(A16,Dataset!$2:$40,14,0)</f>
        <v>85.4</v>
      </c>
      <c r="D16" s="11">
        <f>VLOOKUP(A16,Dataset!$2:$40,18,0)</f>
        <v>52.3</v>
      </c>
      <c r="E16" s="11">
        <f>VLOOKUP(A16,Dataset!$2:$40,20,0)</f>
        <v>106.1</v>
      </c>
      <c r="F16" s="11">
        <f>VLOOKUP(A16,Dataset!$2:$40,22,0)</f>
        <v>52.3</v>
      </c>
    </row>
    <row r="17" spans="1:6" ht="15" x14ac:dyDescent="0.25">
      <c r="A17" s="7" t="s">
        <v>22</v>
      </c>
      <c r="B17" s="11">
        <f>VLOOKUP(A17,Dataset!$2:$40,Dataset!$G$7,)</f>
        <v>30.7</v>
      </c>
      <c r="C17" s="11">
        <f>VLOOKUP(A17,Dataset!$2:$40,14,0)</f>
        <v>92.1</v>
      </c>
      <c r="D17" s="11">
        <f>VLOOKUP(A17,Dataset!$2:$40,18,0)</f>
        <v>57</v>
      </c>
      <c r="E17" s="11">
        <f>VLOOKUP(A17,Dataset!$2:$40,20,0)</f>
        <v>115.1</v>
      </c>
      <c r="F17" s="11">
        <f>VLOOKUP(A17,Dataset!$2:$40,22,0)</f>
        <v>57</v>
      </c>
    </row>
    <row r="18" spans="1:6" ht="15" x14ac:dyDescent="0.25">
      <c r="A18" s="7" t="s">
        <v>23</v>
      </c>
      <c r="B18" s="11">
        <f>VLOOKUP(A18,Dataset!$2:$40,Dataset!$G$7,)</f>
        <v>33.799999999999997</v>
      </c>
      <c r="C18" s="11">
        <f>VLOOKUP(A18,Dataset!$2:$40,14,0)</f>
        <v>101.3</v>
      </c>
      <c r="D18" s="11">
        <f>VLOOKUP(A18,Dataset!$2:$40,18,0)</f>
        <v>61.4</v>
      </c>
      <c r="E18" s="11">
        <f>VLOOKUP(A18,Dataset!$2:$40,20,0)</f>
        <v>124.4</v>
      </c>
      <c r="F18" s="11">
        <f>VLOOKUP(A18,Dataset!$2:$40,22,0)</f>
        <v>61.4</v>
      </c>
    </row>
    <row r="19" spans="1:6" ht="15" x14ac:dyDescent="0.25">
      <c r="A19" s="7" t="s">
        <v>24</v>
      </c>
      <c r="B19" s="11">
        <f>VLOOKUP(A19,Dataset!$2:$40,Dataset!$G$7,)</f>
        <v>34.700000000000003</v>
      </c>
      <c r="C19" s="11">
        <f>VLOOKUP(A19,Dataset!$2:$40,14,0)</f>
        <v>106.1</v>
      </c>
      <c r="D19" s="11">
        <f>VLOOKUP(A19,Dataset!$2:$40,18,0)</f>
        <v>63.6</v>
      </c>
      <c r="E19" s="11">
        <f>VLOOKUP(A19,Dataset!$2:$40,20,0)</f>
        <v>128.6</v>
      </c>
      <c r="F19" s="11">
        <f>VLOOKUP(A19,Dataset!$2:$40,22,0)</f>
        <v>63.6</v>
      </c>
    </row>
    <row r="20" spans="1:6" ht="15" x14ac:dyDescent="0.25">
      <c r="A20" s="7" t="s">
        <v>28</v>
      </c>
      <c r="B20" s="11">
        <f>VLOOKUP(A20,Dataset!$2:$40,Dataset!$G$7,)</f>
        <v>0</v>
      </c>
      <c r="C20" s="11">
        <f>VLOOKUP(A20,Dataset!$2:$40,14,0)</f>
        <v>0</v>
      </c>
      <c r="D20" s="11">
        <f>VLOOKUP(A20,Dataset!$2:$40,18,0)</f>
        <v>0</v>
      </c>
      <c r="E20" s="11">
        <f>VLOOKUP(A20,Dataset!$2:$40,20,0)</f>
        <v>0</v>
      </c>
      <c r="F20" s="11">
        <f>VLOOKUP(A20,Dataset!$2:$40,22,0)</f>
        <v>0</v>
      </c>
    </row>
    <row r="21" spans="1:6" ht="15" x14ac:dyDescent="0.25">
      <c r="A21" s="7" t="s">
        <v>57</v>
      </c>
      <c r="B21" s="11">
        <f>VLOOKUP(A21,Dataset!$2:$40,Dataset!$G$7,)</f>
        <v>41.3</v>
      </c>
      <c r="C21" s="11">
        <f>VLOOKUP(A21,Dataset!$2:$40,14,0)</f>
        <v>124.4</v>
      </c>
      <c r="D21" s="11">
        <f>VLOOKUP(A21,Dataset!$2:$40,18,0)</f>
        <v>75</v>
      </c>
      <c r="E21" s="11">
        <f>VLOOKUP(A21,Dataset!$2:$40,20,0)</f>
        <v>151.5</v>
      </c>
      <c r="F21" s="11">
        <f>VLOOKUP(A21,Dataset!$2:$40,22,0)</f>
        <v>75</v>
      </c>
    </row>
    <row r="22" spans="1:6" ht="15" x14ac:dyDescent="0.25">
      <c r="A22" s="7" t="s">
        <v>58</v>
      </c>
      <c r="B22" s="11">
        <f>VLOOKUP(A22,Dataset!$2:$40,Dataset!$G$7,)</f>
        <v>-1</v>
      </c>
      <c r="C22" s="11">
        <f>VLOOKUP(A22,Dataset!$2:$40,14,0)</f>
        <v>-1</v>
      </c>
      <c r="D22" s="11">
        <f>VLOOKUP(A22,Dataset!$2:$40,18,0)</f>
        <v>-1</v>
      </c>
      <c r="E22" s="11">
        <f>VLOOKUP(A22,Dataset!$2:$40,20,0)</f>
        <v>-1</v>
      </c>
      <c r="F22" s="11">
        <f>VLOOKUP(A22,Dataset!$2:$40,22,0)</f>
        <v>-1</v>
      </c>
    </row>
    <row r="23" spans="1:6" ht="15" x14ac:dyDescent="0.25">
      <c r="A23" s="7" t="s">
        <v>31</v>
      </c>
      <c r="B23" s="11">
        <f>VLOOKUP(A23,Dataset!$2:$40,Dataset!$G$7,)</f>
        <v>45</v>
      </c>
      <c r="C23" s="11">
        <f>VLOOKUP(A23,Dataset!$2:$40,14,0)</f>
        <v>133.4</v>
      </c>
      <c r="D23" s="11">
        <f>VLOOKUP(A23,Dataset!$2:$40,18,0)</f>
        <v>79.400000000000006</v>
      </c>
      <c r="E23" s="11">
        <f>VLOOKUP(A23,Dataset!$2:$40,20,0)</f>
        <v>160.9</v>
      </c>
      <c r="F23" s="11">
        <f>VLOOKUP(A23,Dataset!$2:$40,22,0)</f>
        <v>79.400000000000006</v>
      </c>
    </row>
    <row r="24" spans="1:6" ht="15" x14ac:dyDescent="0.25">
      <c r="A24" s="7" t="s">
        <v>32</v>
      </c>
      <c r="B24" s="11">
        <f>VLOOKUP(A24,Dataset!$2:$40,Dataset!$G$7,)</f>
        <v>-1</v>
      </c>
      <c r="C24" s="11">
        <f>VLOOKUP(A24,Dataset!$2:$40,14,0)</f>
        <v>-1</v>
      </c>
      <c r="D24" s="11">
        <f>VLOOKUP(A24,Dataset!$2:$40,18,0)</f>
        <v>-1</v>
      </c>
      <c r="E24" s="11">
        <f>VLOOKUP(A24,Dataset!$2:$40,20,0)</f>
        <v>-1</v>
      </c>
      <c r="F24" s="11">
        <f>VLOOKUP(A24,Dataset!$2:$40,22,0)</f>
        <v>-1</v>
      </c>
    </row>
    <row r="25" spans="1:6" ht="15" x14ac:dyDescent="0.25">
      <c r="A25" s="7" t="s">
        <v>34</v>
      </c>
      <c r="B25" s="11">
        <f>VLOOKUP(A25,Dataset!$2:$40,Dataset!$G$7,)</f>
        <v>43.3</v>
      </c>
      <c r="C25" s="11">
        <f>VLOOKUP(A25,Dataset!$2:$40,14,0)</f>
        <v>128.6</v>
      </c>
      <c r="D25" s="11">
        <f>VLOOKUP(A25,Dataset!$2:$40,18,0)</f>
        <v>79.400000000000006</v>
      </c>
      <c r="E25" s="11">
        <f>VLOOKUP(A25,Dataset!$2:$40,20,0)</f>
        <v>160.9</v>
      </c>
      <c r="F25" s="11">
        <f>VLOOKUP(A25,Dataset!$2:$40,22,0)</f>
        <v>79.400000000000006</v>
      </c>
    </row>
    <row r="26" spans="1:6" ht="15" x14ac:dyDescent="0.25">
      <c r="A26" s="7" t="s">
        <v>37</v>
      </c>
      <c r="B26" s="11">
        <f>VLOOKUP(A26,Dataset!$2:$40,Dataset!$G$7,)</f>
        <v>49.1</v>
      </c>
      <c r="C26" s="11">
        <f>VLOOKUP(A26,Dataset!$2:$40,14,0)</f>
        <v>146.80000000000001</v>
      </c>
      <c r="D26" s="11">
        <f>VLOOKUP(A26,Dataset!$2:$40,18,0)</f>
        <v>90.9</v>
      </c>
      <c r="E26" s="11">
        <f>VLOOKUP(A26,Dataset!$2:$40,20,0)</f>
        <v>183.5</v>
      </c>
      <c r="F26" s="11">
        <f>VLOOKUP(A26,Dataset!$2:$40,22,0)</f>
        <v>90.9</v>
      </c>
    </row>
    <row r="27" spans="1:6" ht="15" x14ac:dyDescent="0.25">
      <c r="A27" s="7" t="s">
        <v>39</v>
      </c>
      <c r="B27" s="11">
        <f>VLOOKUP(A27,Dataset!$2:$40,Dataset!$G$7,)</f>
        <v>51.8</v>
      </c>
      <c r="C27" s="11">
        <f>VLOOKUP(A27,Dataset!$2:$40,14,0)</f>
        <v>156.4</v>
      </c>
      <c r="D27" s="11">
        <f>VLOOKUP(A27,Dataset!$2:$40,18,0)</f>
        <v>93.1</v>
      </c>
      <c r="E27" s="11">
        <f>VLOOKUP(A27,Dataset!$2:$40,20,0)</f>
        <v>188.1</v>
      </c>
      <c r="F27" s="11">
        <f>VLOOKUP(A27,Dataset!$2:$40,22,0)</f>
        <v>93.1</v>
      </c>
    </row>
    <row r="28" spans="1:6" ht="15" x14ac:dyDescent="0.25">
      <c r="A28" s="18" t="s">
        <v>82</v>
      </c>
      <c r="B28" s="11">
        <f>MIN(B6:B27)</f>
        <v>-1</v>
      </c>
      <c r="C28" s="11">
        <f>MIN(C6:C27)</f>
        <v>-1</v>
      </c>
      <c r="D28" s="11">
        <f t="shared" ref="D28:F28" si="0">MIN(D6:D27)</f>
        <v>-1</v>
      </c>
      <c r="E28" s="11">
        <f t="shared" si="0"/>
        <v>-1</v>
      </c>
      <c r="F28" s="11">
        <f t="shared" si="0"/>
        <v>-1</v>
      </c>
    </row>
    <row r="29" spans="1:6" ht="15" x14ac:dyDescent="0.25">
      <c r="A29" s="18" t="s">
        <v>83</v>
      </c>
      <c r="B29" s="11">
        <f>MAX(B6:B27)</f>
        <v>51.8</v>
      </c>
      <c r="C29" s="11">
        <f>MAX(C6:C27)</f>
        <v>156.4</v>
      </c>
      <c r="D29" s="11">
        <f t="shared" ref="D29:F29" si="1">MAX(D6:D27)</f>
        <v>93.1</v>
      </c>
      <c r="E29" s="11">
        <f t="shared" si="1"/>
        <v>188.1</v>
      </c>
      <c r="F29" s="11">
        <f t="shared" si="1"/>
        <v>93.1</v>
      </c>
    </row>
    <row r="30" spans="1:6" ht="15" x14ac:dyDescent="0.25">
      <c r="A30" s="18" t="s">
        <v>84</v>
      </c>
      <c r="B30" s="11">
        <f>AVERAGE(B6:B29)</f>
        <v>21.208333333333336</v>
      </c>
      <c r="C30" s="11">
        <f t="shared" ref="C30:F30" si="2">AVERAGE(C6:C29)</f>
        <v>63.654166666666669</v>
      </c>
      <c r="D30" s="11">
        <f t="shared" si="2"/>
        <v>38.487500000000004</v>
      </c>
      <c r="E30" s="11">
        <f t="shared" si="2"/>
        <v>77.845833333333331</v>
      </c>
      <c r="F30" s="11">
        <f t="shared" si="2"/>
        <v>38.487500000000004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E67" sqref="E67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 t="s">
        <v>177</v>
      </c>
    </row>
    <row r="6" spans="1:10" ht="18.75" x14ac:dyDescent="0.3">
      <c r="A6" s="41" t="s">
        <v>153</v>
      </c>
      <c r="B6" s="38" t="s">
        <v>177</v>
      </c>
    </row>
    <row r="7" spans="1:10" ht="18.75" x14ac:dyDescent="0.3">
      <c r="A7" s="41"/>
      <c r="B7" s="38"/>
    </row>
    <row r="9" spans="1:10" ht="23.25" x14ac:dyDescent="0.35">
      <c r="A9" s="17" t="s">
        <v>165</v>
      </c>
      <c r="I9" s="2"/>
      <c r="J9" s="2"/>
    </row>
    <row r="10" spans="1:10" x14ac:dyDescent="0.2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>
        <v>20000</v>
      </c>
      <c r="C16" s="1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166</v>
      </c>
    </row>
    <row r="2" spans="1:3" ht="18.75" x14ac:dyDescent="0.3">
      <c r="B2" s="38" t="s">
        <v>178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179</v>
      </c>
    </row>
    <row r="7" spans="1:3" ht="15" x14ac:dyDescent="0.25">
      <c r="A7" s="3" t="s">
        <v>153</v>
      </c>
      <c r="B7" s="1" t="s">
        <v>179</v>
      </c>
    </row>
    <row r="10" spans="1:3" ht="23.25" x14ac:dyDescent="0.35">
      <c r="A10" s="17" t="s">
        <v>162</v>
      </c>
    </row>
    <row r="11" spans="1:3" ht="15" x14ac:dyDescent="0.25">
      <c r="A11" s="30" t="s">
        <v>86</v>
      </c>
      <c r="B11" s="16" t="s">
        <v>87</v>
      </c>
      <c r="C11" s="16" t="s">
        <v>88</v>
      </c>
    </row>
    <row r="12" spans="1:3" ht="15" x14ac:dyDescent="0.25">
      <c r="A12" s="30">
        <v>44927</v>
      </c>
      <c r="B12" s="16" t="s">
        <v>59</v>
      </c>
      <c r="C12" s="16">
        <v>200</v>
      </c>
    </row>
    <row r="13" spans="1:3" ht="15" x14ac:dyDescent="0.25">
      <c r="A13" s="30">
        <v>44928</v>
      </c>
      <c r="B13" s="16" t="s">
        <v>60</v>
      </c>
      <c r="C13" s="16">
        <v>20</v>
      </c>
    </row>
    <row r="14" spans="1:3" ht="15" x14ac:dyDescent="0.25">
      <c r="A14" s="30">
        <v>44929</v>
      </c>
      <c r="B14" s="16" t="s">
        <v>61</v>
      </c>
      <c r="C14" s="16">
        <v>50</v>
      </c>
    </row>
    <row r="15" spans="1:3" ht="15" x14ac:dyDescent="0.25">
      <c r="A15" s="30">
        <v>44930</v>
      </c>
      <c r="B15" s="16" t="s">
        <v>62</v>
      </c>
      <c r="C15" s="16">
        <v>20</v>
      </c>
    </row>
    <row r="16" spans="1:3" ht="15" x14ac:dyDescent="0.25">
      <c r="A16" s="30">
        <v>44931</v>
      </c>
      <c r="B16" s="16" t="s">
        <v>63</v>
      </c>
      <c r="C16" s="16">
        <v>10</v>
      </c>
    </row>
    <row r="17" spans="1:3" ht="15" x14ac:dyDescent="0.25">
      <c r="A17" s="30">
        <v>44932</v>
      </c>
      <c r="B17" s="16" t="s">
        <v>154</v>
      </c>
      <c r="C17" s="16">
        <v>150</v>
      </c>
    </row>
    <row r="18" spans="1:3" ht="15" x14ac:dyDescent="0.25">
      <c r="A18" s="30">
        <v>44933</v>
      </c>
      <c r="B18" s="16" t="s">
        <v>155</v>
      </c>
      <c r="C18" s="16">
        <v>80</v>
      </c>
    </row>
    <row r="19" spans="1:3" ht="15" x14ac:dyDescent="0.25">
      <c r="A19" s="30">
        <v>44934</v>
      </c>
      <c r="B19" s="16" t="s">
        <v>156</v>
      </c>
      <c r="C19" s="16">
        <v>20</v>
      </c>
    </row>
    <row r="20" spans="1:3" ht="15" x14ac:dyDescent="0.25">
      <c r="A20" s="30">
        <v>44935</v>
      </c>
      <c r="B20" s="16" t="s">
        <v>157</v>
      </c>
      <c r="C20" s="16">
        <v>30</v>
      </c>
    </row>
    <row r="21" spans="1:3" ht="15" x14ac:dyDescent="0.25">
      <c r="A21" s="30">
        <v>44936</v>
      </c>
      <c r="B21" s="16" t="s">
        <v>158</v>
      </c>
      <c r="C21" s="16">
        <v>20</v>
      </c>
    </row>
    <row r="22" spans="1:3" ht="15" x14ac:dyDescent="0.2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5" zoomScale="109" zoomScaleNormal="100" workbookViewId="0">
      <selection activeCell="B9" sqref="B9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174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</row>
    <row r="5" spans="1:14" ht="18.75" x14ac:dyDescent="0.3">
      <c r="A5" s="41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167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2"/>
    </row>
    <row r="24" spans="1:14" ht="15" x14ac:dyDescent="0.25">
      <c r="A24" s="7">
        <v>10100</v>
      </c>
      <c r="B24" s="11">
        <v>10104</v>
      </c>
      <c r="C24" s="42"/>
    </row>
    <row r="25" spans="1:14" ht="15" x14ac:dyDescent="0.25">
      <c r="A25" s="7">
        <v>10108</v>
      </c>
      <c r="B25" s="11">
        <v>10102</v>
      </c>
      <c r="C25" s="42"/>
    </row>
    <row r="26" spans="1:14" ht="15" x14ac:dyDescent="0.25">
      <c r="A26" s="7">
        <v>10100</v>
      </c>
      <c r="B26" s="11">
        <v>10106</v>
      </c>
      <c r="C26" s="42"/>
    </row>
    <row r="27" spans="1:14" ht="15" x14ac:dyDescent="0.25">
      <c r="A27" s="7">
        <v>10108</v>
      </c>
      <c r="B27" s="11">
        <v>10110</v>
      </c>
      <c r="C27" s="42"/>
    </row>
    <row r="28" spans="1:14" ht="15" x14ac:dyDescent="0.25">
      <c r="A28" s="7">
        <v>10102</v>
      </c>
      <c r="B28" s="11">
        <v>10104</v>
      </c>
      <c r="C28" s="42"/>
    </row>
    <row r="29" spans="1:14" ht="15" x14ac:dyDescent="0.25">
      <c r="A29" s="7">
        <v>10106</v>
      </c>
      <c r="B29" s="11">
        <v>10108</v>
      </c>
      <c r="C29" s="42"/>
    </row>
    <row r="30" spans="1:14" ht="15" x14ac:dyDescent="0.25">
      <c r="A30" s="7">
        <v>10102</v>
      </c>
      <c r="B30" s="11">
        <v>10106</v>
      </c>
      <c r="C30" s="42"/>
    </row>
    <row r="31" spans="1:14" ht="15" x14ac:dyDescent="0.25">
      <c r="A31" s="7">
        <v>10110</v>
      </c>
      <c r="B31" s="11">
        <v>10114</v>
      </c>
      <c r="C31" s="42"/>
    </row>
    <row r="32" spans="1:14" ht="15" x14ac:dyDescent="0.25">
      <c r="A32" s="7">
        <v>10104</v>
      </c>
      <c r="B32" s="11">
        <v>10106</v>
      </c>
      <c r="C32" s="42"/>
    </row>
    <row r="33" spans="1:3" ht="15" x14ac:dyDescent="0.25">
      <c r="A33" s="7">
        <v>10110</v>
      </c>
      <c r="B33" s="11">
        <v>10112</v>
      </c>
      <c r="C33" s="42"/>
    </row>
    <row r="34" spans="1:3" ht="15" x14ac:dyDescent="0.25">
      <c r="A34" s="7">
        <v>10100</v>
      </c>
      <c r="B34" s="11">
        <v>10114</v>
      </c>
      <c r="C34" s="42"/>
    </row>
    <row r="35" spans="1:3" ht="15" x14ac:dyDescent="0.25">
      <c r="A35" s="8">
        <v>10112</v>
      </c>
      <c r="B35" s="12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DELL</cp:lastModifiedBy>
  <dcterms:created xsi:type="dcterms:W3CDTF">2015-02-10T17:33:11Z</dcterms:created>
  <dcterms:modified xsi:type="dcterms:W3CDTF">2023-12-08T21:12:36Z</dcterms:modified>
</cp:coreProperties>
</file>